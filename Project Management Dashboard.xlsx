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91933\Desktop\New folder (2)\"/>
    </mc:Choice>
  </mc:AlternateContent>
  <bookViews>
    <workbookView xWindow="0" yWindow="0" windowWidth="19635" windowHeight="7020" activeTab="2"/>
  </bookViews>
  <sheets>
    <sheet name="Sheet4" sheetId="12" r:id="rId1"/>
    <sheet name="Project Data" sheetId="1" r:id="rId2"/>
    <sheet name="Dashboard" sheetId="8" r:id="rId3"/>
    <sheet name="Lists" sheetId="6" r:id="rId4"/>
  </sheets>
  <definedNames>
    <definedName name="Slicer_Assigned_To">#N/A</definedName>
    <definedName name="Slicer_Task_Name">#N/A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8" l="1"/>
  <c r="M6" i="8"/>
  <c r="M4" i="8"/>
  <c r="I10" i="1"/>
  <c r="I9" i="1"/>
  <c r="I8" i="1"/>
  <c r="I7" i="1"/>
  <c r="I6" i="1"/>
  <c r="I5" i="1"/>
  <c r="I4" i="1"/>
  <c r="I3" i="1"/>
  <c r="I2" i="1"/>
</calcChain>
</file>

<file path=xl/sharedStrings.xml><?xml version="1.0" encoding="utf-8"?>
<sst xmlns="http://schemas.openxmlformats.org/spreadsheetml/2006/main" count="106" uniqueCount="41">
  <si>
    <t>Row Labels</t>
  </si>
  <si>
    <t>Count of Task Name</t>
  </si>
  <si>
    <t>Average of %Completion</t>
  </si>
  <si>
    <t>High</t>
  </si>
  <si>
    <t>Marketing Campaign</t>
  </si>
  <si>
    <t>Low</t>
  </si>
  <si>
    <t>Mobile App Testing</t>
  </si>
  <si>
    <t>Medium</t>
  </si>
  <si>
    <t>Website Revamp</t>
  </si>
  <si>
    <t>Grand Total</t>
  </si>
  <si>
    <t>Completed</t>
  </si>
  <si>
    <t>Not Started</t>
  </si>
  <si>
    <t>Work In Progress</t>
  </si>
  <si>
    <t>Project Name</t>
  </si>
  <si>
    <t>Task Name</t>
  </si>
  <si>
    <t>Assigned To</t>
  </si>
  <si>
    <t>Start Date</t>
  </si>
  <si>
    <t>Due Date</t>
  </si>
  <si>
    <t>Status</t>
  </si>
  <si>
    <t>%Completion</t>
  </si>
  <si>
    <t>Priority</t>
  </si>
  <si>
    <t>Task Health</t>
  </si>
  <si>
    <t>Requirement Gathering</t>
  </si>
  <si>
    <t>Alice</t>
  </si>
  <si>
    <t>UI Design</t>
  </si>
  <si>
    <t>Charlie</t>
  </si>
  <si>
    <t>Frontend Development</t>
  </si>
  <si>
    <t>Bob</t>
  </si>
  <si>
    <t>Backend Integration</t>
  </si>
  <si>
    <t>Diana</t>
  </si>
  <si>
    <t>Test Case Writing</t>
  </si>
  <si>
    <t>Ethan</t>
  </si>
  <si>
    <t>Functional Testing</t>
  </si>
  <si>
    <t>Bug Fixing</t>
  </si>
  <si>
    <t>Content Creation</t>
  </si>
  <si>
    <t>Social Media Ads</t>
  </si>
  <si>
    <t>Metrics</t>
  </si>
  <si>
    <t>TOTAL PROJECTS</t>
  </si>
  <si>
    <t>TOTAL TASKS</t>
  </si>
  <si>
    <t>% COMPLETED</t>
  </si>
  <si>
    <t>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</si>
</sst>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charset val="134"/>
      <scheme val="minor"/>
    </font>
    <font>
      <b/>
      <sz val="11"/>
      <color theme="1"/>
      <name val="Calibri"/>
      <charset val="134"/>
      <scheme val="minor"/>
    </font>
    <font>
      <b/>
      <sz val="36"/>
      <color theme="1"/>
      <name val="Calibri"/>
      <charset val="134"/>
      <scheme val="minor"/>
    </font>
    <font>
      <b/>
      <sz val="18"/>
      <color rgb="FFFF0000"/>
      <name val="Calibri"/>
      <charset val="134"/>
      <scheme val="minor"/>
    </font>
    <font>
      <b/>
      <sz val="14"/>
      <color theme="1"/>
      <name val="Calibri"/>
      <charset val="134"/>
      <scheme val="minor"/>
    </font>
    <font>
      <sz val="14"/>
      <color theme="1"/>
      <name val="Calibri"/>
      <charset val="134"/>
      <scheme val="minor"/>
    </font>
    <font>
      <b/>
      <sz val="12"/>
      <color theme="1"/>
      <name val="Calibri"/>
      <charset val="134"/>
      <scheme val="minor"/>
    </font>
  </fonts>
  <fills count="5">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xf numFmtId="0" fontId="0" fillId="0" borderId="1" xfId="0" applyBorder="1"/>
    <xf numFmtId="0" fontId="6" fillId="2" borderId="2" xfId="0" applyFont="1" applyFill="1" applyBorder="1"/>
    <xf numFmtId="0" fontId="6" fillId="2" borderId="3" xfId="0" applyFont="1" applyFill="1" applyBorder="1"/>
    <xf numFmtId="0" fontId="6" fillId="2" borderId="4" xfId="0" applyFont="1" applyFill="1" applyBorder="1"/>
    <xf numFmtId="0" fontId="0" fillId="0" borderId="5" xfId="0" applyBorder="1"/>
    <xf numFmtId="14" fontId="0" fillId="0" borderId="1" xfId="0" applyNumberFormat="1" applyBorder="1"/>
    <xf numFmtId="9"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9" fontId="0" fillId="0" borderId="8" xfId="0" applyNumberFormat="1" applyBorder="1"/>
    <xf numFmtId="0" fontId="0" fillId="0" borderId="9" xfId="0" applyBorder="1"/>
    <xf numFmtId="0" fontId="0" fillId="0" borderId="0" xfId="0" applyAlignment="1">
      <alignment horizontal="left"/>
    </xf>
    <xf numFmtId="0" fontId="0" fillId="0" borderId="0" xfId="0" applyNumberFormat="1"/>
    <xf numFmtId="0" fontId="0" fillId="3" borderId="0" xfId="0" applyFill="1"/>
    <xf numFmtId="0" fontId="0" fillId="3" borderId="0" xfId="0" applyFill="1" applyBorder="1"/>
    <xf numFmtId="0" fontId="2" fillId="4" borderId="6" xfId="0" applyFont="1" applyFill="1" applyBorder="1" applyAlignment="1">
      <alignment horizontal="center"/>
    </xf>
    <xf numFmtId="0" fontId="2" fillId="4" borderId="10" xfId="0" applyFont="1" applyFill="1" applyBorder="1" applyAlignment="1">
      <alignment horizontal="center"/>
    </xf>
    <xf numFmtId="0" fontId="2" fillId="4" borderId="5" xfId="0" applyFont="1" applyFill="1" applyBorder="1" applyAlignment="1">
      <alignment horizontal="center"/>
    </xf>
    <xf numFmtId="0" fontId="3" fillId="3" borderId="0" xfId="0" applyFont="1" applyFill="1" applyBorder="1" applyAlignment="1">
      <alignment horizontal="center"/>
    </xf>
    <xf numFmtId="0" fontId="4" fillId="3" borderId="0" xfId="0" applyFont="1" applyFill="1" applyBorder="1" applyAlignment="1">
      <alignment wrapText="1"/>
    </xf>
    <xf numFmtId="0" fontId="5" fillId="3" borderId="0" xfId="0" applyFont="1" applyFill="1" applyBorder="1"/>
    <xf numFmtId="0" fontId="4" fillId="3" borderId="0" xfId="0" applyFont="1" applyFill="1" applyBorder="1"/>
    <xf numFmtId="9" fontId="4" fillId="3" borderId="0" xfId="0" applyNumberFormat="1" applyFont="1" applyFill="1" applyBorder="1"/>
  </cellXfs>
  <cellStyles count="1">
    <cellStyle name="Normal" xfId="0" builtinId="0"/>
  </cellStyles>
  <dxfs count="11">
    <dxf>
      <border>
        <left style="thin">
          <color auto="1"/>
        </left>
        <right/>
        <top style="thin">
          <color auto="1"/>
        </top>
        <bottom style="thin">
          <color auto="1"/>
        </bottom>
      </border>
    </dxf>
    <dxf>
      <border>
        <left style="thin">
          <color auto="1"/>
        </left>
        <right style="thin">
          <color auto="1"/>
        </right>
        <top style="thin">
          <color auto="1"/>
        </top>
        <bottom style="thin">
          <color auto="1"/>
        </bottom>
      </border>
    </dxf>
    <dxf>
      <numFmt numFmtId="13" formatCode="0%"/>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9" formatCode="dd/mm/yyyy"/>
      <border>
        <left style="thin">
          <color auto="1"/>
        </left>
        <right style="thin">
          <color auto="1"/>
        </right>
        <top style="thin">
          <color auto="1"/>
        </top>
        <bottom style="thin">
          <color auto="1"/>
        </bottom>
      </border>
    </dxf>
    <dxf>
      <numFmt numFmtId="19" formatCode="dd/mm/yyyy"/>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style="thin">
          <color auto="1"/>
        </right>
        <top style="thin">
          <color auto="1"/>
        </top>
        <bottom style="thin">
          <color auto="1"/>
        </bottom>
      </border>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[Dashboard.xlsx]Sheet4!PivotTable1</c:name>
    <c:fmtId val="2"/>
  </c:pivotSource>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cat>
            <c:strRef>
              <c:f>Sheet4!$A$4:$A$7</c:f>
              <c:strCache>
                <c:ptCount val="3"/>
                <c:pt idx="0">
                  <c:v>High</c:v>
                </c:pt>
                <c:pt idx="1">
                  <c:v>Low</c:v>
                </c:pt>
                <c:pt idx="2">
                  <c:v>Medium</c:v>
                </c:pt>
              </c:strCache>
            </c:strRef>
          </c:cat>
          <c:val>
            <c:numRef>
              <c:f>Sheet4!$B$4:$B$7</c:f>
              <c:numCache>
                <c:formatCode>General</c:formatCode>
                <c:ptCount val="3"/>
                <c:pt idx="0">
                  <c:v>3</c:v>
                </c:pt>
                <c:pt idx="1">
                  <c:v>3</c:v>
                </c:pt>
                <c:pt idx="2">
                  <c:v>3</c:v>
                </c:pt>
              </c:numCache>
            </c:numRef>
          </c:val>
          <c:extLst>
            <c:ext xmlns:c16="http://schemas.microsoft.com/office/drawing/2014/chart" uri="{C3380CC4-5D6E-409C-BE32-E72D297353CC}">
              <c16:uniqueId val="{00000000-2312-43FF-805F-6DBCB38824F5}"/>
            </c:ext>
          </c:extLst>
        </c:ser>
        <c:dLbls>
          <c:showLegendKey val="0"/>
          <c:showVal val="0"/>
          <c:showCatName val="0"/>
          <c:showSerName val="0"/>
          <c:showPercent val="0"/>
          <c:showBubbleSize val="0"/>
        </c:dLbls>
        <c:gapWidth val="150"/>
        <c:shape val="box"/>
        <c:axId val="219827216"/>
        <c:axId val="219821808"/>
        <c:axId val="0"/>
      </c:bar3DChart>
      <c:catAx>
        <c:axId val="21982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9821808"/>
        <c:crosses val="autoZero"/>
        <c:auto val="1"/>
        <c:lblAlgn val="ctr"/>
        <c:lblOffset val="100"/>
        <c:noMultiLvlLbl val="0"/>
      </c:catAx>
      <c:valAx>
        <c:axId val="2198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9827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7db1fff-772e-401b-a335-2ac27fcbcf1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[Dashboard.xlsx]Sheet4!PivotTable3</c:name>
    <c:fmtId val="11"/>
  </c:pivotSource>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Sheet4!$B$9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96-4D08-ADB4-A2E54BF427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96-4D08-ADB4-A2E54BF427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96-4D08-ADB4-A2E54BF42739}"/>
              </c:ext>
            </c:extLst>
          </c:dPt>
          <c:cat>
            <c:strRef>
              <c:f>Sheet4!$A$10:$A$13</c:f>
              <c:strCache>
                <c:ptCount val="3"/>
                <c:pt idx="0">
                  <c:v>Completed</c:v>
                </c:pt>
                <c:pt idx="1">
                  <c:v>Not Started</c:v>
                </c:pt>
                <c:pt idx="2">
                  <c:v>Work In Progress</c:v>
                </c:pt>
              </c:strCache>
            </c:strRef>
          </c:cat>
          <c:val>
            <c:numRef>
              <c:f>Sheet4!$B$10:$B$13</c:f>
              <c:numCache>
                <c:formatCode>General</c:formatCode>
                <c:ptCount val="3"/>
                <c:pt idx="0">
                  <c:v>3</c:v>
                </c:pt>
                <c:pt idx="1">
                  <c:v>4</c:v>
                </c:pt>
                <c:pt idx="2">
                  <c:v>2</c:v>
                </c:pt>
              </c:numCache>
            </c:numRef>
          </c:val>
          <c:extLst>
            <c:ext xmlns:c16="http://schemas.microsoft.com/office/drawing/2014/chart" uri="{C3380CC4-5D6E-409C-BE32-E72D297353CC}">
              <c16:uniqueId val="{00000006-3596-4D08-ADB4-A2E54BF427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7c888c6-5566-4d0e-ab4a-4c4cab61b32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2"/>
  </c:pivotSource>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Sheet4!$E$3</c:f>
              <c:strCache>
                <c:ptCount val="1"/>
                <c:pt idx="0">
                  <c:v>Total</c:v>
                </c:pt>
              </c:strCache>
            </c:strRef>
          </c:tx>
          <c:spPr>
            <a:solidFill>
              <a:schemeClr val="accent1"/>
            </a:solidFill>
            <a:ln>
              <a:noFill/>
            </a:ln>
            <a:effectLst/>
            <a:sp3d/>
          </c:spPr>
          <c:invertIfNegative val="0"/>
          <c:cat>
            <c:strRef>
              <c:f>Sheet4!$D$4:$D$7</c:f>
              <c:strCache>
                <c:ptCount val="3"/>
                <c:pt idx="0">
                  <c:v>Marketing Campaign</c:v>
                </c:pt>
                <c:pt idx="1">
                  <c:v>Mobile App Testing</c:v>
                </c:pt>
                <c:pt idx="2">
                  <c:v>Website Revamp</c:v>
                </c:pt>
              </c:strCache>
            </c:strRef>
          </c:cat>
          <c:val>
            <c:numRef>
              <c:f>Sheet4!$E$4:$E$7</c:f>
              <c:numCache>
                <c:formatCode>General</c:formatCode>
                <c:ptCount val="3"/>
                <c:pt idx="0">
                  <c:v>0.65</c:v>
                </c:pt>
                <c:pt idx="1">
                  <c:v>0.57499999999999996</c:v>
                </c:pt>
                <c:pt idx="2">
                  <c:v>0.5</c:v>
                </c:pt>
              </c:numCache>
            </c:numRef>
          </c:val>
          <c:extLst>
            <c:ext xmlns:c16="http://schemas.microsoft.com/office/drawing/2014/chart" uri="{C3380CC4-5D6E-409C-BE32-E72D297353CC}">
              <c16:uniqueId val="{00000000-9398-4D35-8B66-368B32737EEB}"/>
            </c:ext>
          </c:extLst>
        </c:ser>
        <c:dLbls>
          <c:showLegendKey val="0"/>
          <c:showVal val="0"/>
          <c:showCatName val="0"/>
          <c:showSerName val="0"/>
          <c:showPercent val="0"/>
          <c:showBubbleSize val="0"/>
        </c:dLbls>
        <c:gapWidth val="150"/>
        <c:shape val="box"/>
        <c:axId val="313099904"/>
        <c:axId val="313086592"/>
        <c:axId val="219765136"/>
      </c:bar3DChart>
      <c:catAx>
        <c:axId val="31309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3086592"/>
        <c:crosses val="autoZero"/>
        <c:auto val="1"/>
        <c:lblAlgn val="ctr"/>
        <c:lblOffset val="100"/>
        <c:noMultiLvlLbl val="0"/>
      </c:catAx>
      <c:valAx>
        <c:axId val="31308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3099904"/>
        <c:crosses val="autoZero"/>
        <c:crossBetween val="between"/>
      </c:valAx>
      <c:serAx>
        <c:axId val="2197651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3086592"/>
        <c:crosses val="autoZero"/>
        <c:tickMarkSkip val="1"/>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03fae7e-e4c6-43d4-9916-71b0d715b61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47625</xdr:rowOff>
    </xdr:from>
    <xdr:to>
      <xdr:col>7</xdr:col>
      <xdr:colOff>438150</xdr:colOff>
      <xdr:row>8</xdr:row>
      <xdr:rowOff>38100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180975</xdr:colOff>
      <xdr:row>1</xdr:row>
      <xdr:rowOff>38100</xdr:rowOff>
    </xdr:from>
    <xdr:to>
      <xdr:col>20</xdr:col>
      <xdr:colOff>342900</xdr:colOff>
      <xdr:row>8</xdr:row>
      <xdr:rowOff>57150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257175</xdr:colOff>
      <xdr:row>8</xdr:row>
      <xdr:rowOff>152400</xdr:rowOff>
    </xdr:from>
    <xdr:to>
      <xdr:col>15</xdr:col>
      <xdr:colOff>266700</xdr:colOff>
      <xdr:row>21</xdr:row>
      <xdr:rowOff>123825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133350</xdr:colOff>
      <xdr:row>8</xdr:row>
      <xdr:rowOff>123825</xdr:rowOff>
    </xdr:from>
    <xdr:to>
      <xdr:col>5</xdr:col>
      <xdr:colOff>133350</xdr:colOff>
      <xdr:row>21</xdr:row>
      <xdr:rowOff>171450</xdr:rowOff>
    </xdr:to>
    <mc:AlternateContent xmlns:mc="http://schemas.openxmlformats.org/markup-compatibility/2006">
      <mc:Choice xmlns:a14="http://schemas.microsoft.com/office/drawing/2010/main" Requires="a14">
        <xdr:graphicFrame macro="">
          <xdr:nvGraphicFramePr>
            <xdr:cNvPr id="12" name="Task Name"/>
            <xdr:cNvGraphicFramePr/>
          </xdr:nvGraphicFramePr>
          <xdr:xfrm>
            <a:off x="0" y="0"/>
            <a:ext cx="0" cy="0"/>
          </xdr:xfrm>
          <a:graphic>
            <a:graphicData uri="http://schemas.microsoft.com/office/drawing/2010/slicer">
              <sle:slicer xmlns:sle="http://schemas.microsoft.com/office/drawing/2010/slicer" name="Task Name"/>
            </a:graphicData>
          </a:graphic>
        </xdr:graphicFrame>
      </mc:Choice>
      <mc:Fallback>
        <xdr:sp macro="" textlink="">
          <xdr:nvSpPr>
            <xdr:cNvPr id="0" name=""/>
            <xdr:cNvSpPr>
              <a:spLocks noTextEdit="1"/>
            </xdr:cNvSpPr>
          </xdr:nvSpPr>
          <xdr:spPr>
            <a:xfrm>
              <a:off x="1333500" y="2524125"/>
              <a:ext cx="18002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8</xdr:row>
      <xdr:rowOff>152400</xdr:rowOff>
    </xdr:from>
    <xdr:to>
      <xdr:col>18</xdr:col>
      <xdr:colOff>400050</xdr:colOff>
      <xdr:row>22</xdr:row>
      <xdr:rowOff>9525</xdr:rowOff>
    </xdr:to>
    <mc:AlternateContent xmlns:mc="http://schemas.openxmlformats.org/markup-compatibility/2006">
      <mc:Choice xmlns:a14="http://schemas.microsoft.com/office/drawing/2010/main" Requires="a14">
        <xdr:graphicFrame macro="">
          <xdr:nvGraphicFramePr>
            <xdr:cNvPr id="13" name="Assigned To"/>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dr:sp macro="" textlink="">
          <xdr:nvSpPr>
            <xdr:cNvPr id="0" name=""/>
            <xdr:cNvSpPr>
              <a:spLocks noTextEdit="1"/>
            </xdr:cNvSpPr>
          </xdr:nvSpPr>
          <xdr:spPr>
            <a:xfrm>
              <a:off x="9401175" y="2552700"/>
              <a:ext cx="18002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063.468032175901" createdVersion="8" refreshedVersion="8" minRefreshableVersion="3" recordCount="9">
  <cacheSource type="worksheet">
    <worksheetSource name="PTable"/>
  </cacheSource>
  <cacheFields count="9">
    <cacheField name="Project Name" numFmtId="0">
      <sharedItems count="3">
        <s v="Website Revamp"/>
        <s v="Mobile App Testing"/>
        <s v="Marketing Campaign"/>
      </sharedItems>
    </cacheField>
    <cacheField name="Task Name" numFmtId="0">
      <sharedItems count="9">
        <s v="Requirement Gathering"/>
        <s v="UI Design"/>
        <s v="Frontend Development"/>
        <s v="Backend Integration"/>
        <s v="Test Case Writing"/>
        <s v="Functional Testing"/>
        <s v="Bug Fixing"/>
        <s v="Content Creation"/>
        <s v="Social Media Ads"/>
      </sharedItems>
    </cacheField>
    <cacheField name="Assigned To" numFmtId="0">
      <sharedItems count="5">
        <s v="Alice"/>
        <s v="Charlie"/>
        <s v="Bob"/>
        <s v="Diana"/>
        <s v="Ethan"/>
      </sharedItems>
    </cacheField>
    <cacheField name="Start Date" numFmtId="14">
      <sharedItems containsSemiMixedTypes="0" containsNonDate="0" containsString="0"/>
    </cacheField>
    <cacheField name="Due Date" numFmtId="14">
      <sharedItems containsSemiMixedTypes="0" containsNonDate="0" containsString="0"/>
    </cacheField>
    <cacheField name="Status" numFmtId="0">
      <sharedItems count="3">
        <s v="Work In Progress"/>
        <s v="Not Started"/>
        <s v="Completed"/>
      </sharedItems>
    </cacheField>
    <cacheField name="%Completion" numFmtId="9">
      <sharedItems containsSemiMixedTypes="0" containsNonDate="0" containsString="0"/>
    </cacheField>
    <cacheField name="Priority" numFmtId="0">
      <sharedItems count="3">
        <s v="High"/>
        <s v="Medium"/>
        <s v="Low"/>
      </sharedItems>
    </cacheField>
    <cacheField name="Task Health" numFmtId="0">
      <sharedItems containsSemiMixedTypes="0" containsNonDate="0" containsString="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d v="2025-02-01T00:00:00"/>
    <d v="2025-02-05T00:00:00"/>
    <x v="0"/>
    <n v="1"/>
    <x v="0"/>
    <s v="On Track"/>
  </r>
  <r>
    <x v="1"/>
    <x v="1"/>
    <x v="1"/>
    <d v="2025-02-05T00:00:00"/>
    <d v="2025-02-25T00:00:00"/>
    <x v="0"/>
    <n v="0.7"/>
    <x v="1"/>
    <s v="On Track"/>
  </r>
  <r>
    <x v="2"/>
    <x v="2"/>
    <x v="2"/>
    <d v="2025-02-13T00:00:00"/>
    <d v="2025-02-10T00:00:00"/>
    <x v="1"/>
    <n v="0.45"/>
    <x v="2"/>
    <s v="Overdue"/>
  </r>
  <r>
    <x v="0"/>
    <x v="3"/>
    <x v="3"/>
    <d v="2025-02-15T00:00:00"/>
    <d v="2025-02-28T00:00:00"/>
    <x v="2"/>
    <n v="0"/>
    <x v="0"/>
    <s v="Done"/>
  </r>
  <r>
    <x v="1"/>
    <x v="4"/>
    <x v="4"/>
    <d v="2025-02-03T00:00:00"/>
    <d v="2025-02-01T00:00:00"/>
    <x v="1"/>
    <n v="1"/>
    <x v="1"/>
    <s v="Overdue"/>
  </r>
  <r>
    <x v="1"/>
    <x v="5"/>
    <x v="0"/>
    <d v="2025-02-08T00:00:00"/>
    <d v="2025-02-01T00:00:00"/>
    <x v="1"/>
    <n v="0.6"/>
    <x v="2"/>
    <s v="Overdue"/>
  </r>
  <r>
    <x v="1"/>
    <x v="6"/>
    <x v="2"/>
    <d v="2025-02-15T00:00:00"/>
    <d v="2025-02-20T00:00:00"/>
    <x v="2"/>
    <n v="0"/>
    <x v="0"/>
    <s v="Done"/>
  </r>
  <r>
    <x v="2"/>
    <x v="7"/>
    <x v="1"/>
    <d v="2025-02-02T00:00:00"/>
    <d v="2025-02-01T00:00:00"/>
    <x v="1"/>
    <n v="1"/>
    <x v="1"/>
    <s v="Overdue"/>
  </r>
  <r>
    <x v="2"/>
    <x v="8"/>
    <x v="3"/>
    <d v="2025-02-07T00:00:00"/>
    <d v="2025-02-15T00:00:00"/>
    <x v="2"/>
    <n v="0.5"/>
    <x v="2"/>
    <s v="D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3">
  <location ref="A3:B7" firstHeaderRow="1" firstDataRow="1" firstDataCol="1"/>
  <pivotFields count="9">
    <pivotField showAll="0">
      <items count="4">
        <item x="2"/>
        <item x="1"/>
        <item x="0"/>
        <item t="default"/>
      </items>
    </pivotField>
    <pivotField dataField="1" showAll="0">
      <items count="10">
        <item x="3"/>
        <item x="6"/>
        <item x="7"/>
        <item x="2"/>
        <item x="5"/>
        <item x="0"/>
        <item x="8"/>
        <item x="4"/>
        <item x="1"/>
        <item t="default"/>
      </items>
    </pivotField>
    <pivotField showAll="0">
      <items count="6">
        <item x="0"/>
        <item x="2"/>
        <item x="1"/>
        <item x="3"/>
        <item x="4"/>
        <item t="default"/>
      </items>
    </pivotField>
    <pivotField numFmtId="14" showAll="0"/>
    <pivotField numFmtId="14" showAll="0"/>
    <pivotField showAll="0"/>
    <pivotField numFmtId="9" showAll="0"/>
    <pivotField axis="axisRow" showAll="0">
      <items count="4">
        <item x="0"/>
        <item x="2"/>
        <item x="1"/>
        <item t="default"/>
      </items>
    </pivotField>
    <pivotField showAll="0"/>
  </pivotFields>
  <rowFields count="1">
    <field x="7"/>
  </rowFields>
  <rowItems count="4">
    <i>
      <x/>
    </i>
    <i>
      <x v="1"/>
    </i>
    <i>
      <x v="2"/>
    </i>
    <i t="grand">
      <x/>
    </i>
  </rowItems>
  <colItems count="1">
    <i/>
  </colItems>
  <dataFields count="1">
    <dataField name="Count of Task Name"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12">
  <location ref="A9:B13" firstHeaderRow="1" firstDataRow="1" firstDataCol="1"/>
  <pivotFields count="9">
    <pivotField showAll="0">
      <items count="4">
        <item x="2"/>
        <item x="1"/>
        <item x="0"/>
        <item t="default"/>
      </items>
    </pivotField>
    <pivotField dataField="1" showAll="0">
      <items count="10">
        <item x="3"/>
        <item x="6"/>
        <item x="7"/>
        <item x="2"/>
        <item x="5"/>
        <item x="0"/>
        <item x="8"/>
        <item x="4"/>
        <item x="1"/>
        <item t="default"/>
      </items>
    </pivotField>
    <pivotField showAll="0">
      <items count="6">
        <item x="0"/>
        <item x="2"/>
        <item x="1"/>
        <item x="3"/>
        <item x="4"/>
        <item t="default"/>
      </items>
    </pivotField>
    <pivotField numFmtId="14" showAll="0"/>
    <pivotField numFmtId="14" showAll="0"/>
    <pivotField axis="axisRow" showAll="0">
      <items count="4">
        <item x="2"/>
        <item x="1"/>
        <item x="0"/>
        <item t="default"/>
      </items>
    </pivotField>
    <pivotField numFmtId="9" showAll="0"/>
    <pivotField showAll="0">
      <items count="4">
        <item x="0"/>
        <item x="2"/>
        <item x="1"/>
        <item t="default"/>
      </items>
    </pivotField>
    <pivotField showAll="0"/>
  </pivotFields>
  <rowFields count="1">
    <field x="5"/>
  </rowFields>
  <rowItems count="4">
    <i>
      <x/>
    </i>
    <i>
      <x v="1"/>
    </i>
    <i>
      <x v="2"/>
    </i>
    <i t="grand">
      <x/>
    </i>
  </rowItems>
  <colItems count="1">
    <i/>
  </colItems>
  <dataFields count="1">
    <dataField name="Count of Task Name" fld="1" subtotal="count" baseField="0" baseItem="0"/>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0"/>
          </reference>
        </references>
      </pivotArea>
    </chartFormat>
    <chartFormat chart="11" format="2">
      <pivotArea type="data" outline="0" fieldPosition="0">
        <references count="2">
          <reference field="4294967294" count="1" selected="0">
            <x v="0"/>
          </reference>
          <reference field="5" count="1" selected="0">
            <x v="1"/>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createdVersion="6" indent="0" outline="1" outlineData="1" multipleFieldFilters="0" chartFormat="3">
  <location ref="D3:E7" firstHeaderRow="1" firstDataRow="1" firstDataCol="1"/>
  <pivotFields count="9">
    <pivotField axis="axisRow" showAll="0">
      <items count="4">
        <item x="2"/>
        <item x="1"/>
        <item x="0"/>
        <item t="default"/>
      </items>
    </pivotField>
    <pivotField showAll="0">
      <items count="10">
        <item x="3"/>
        <item x="6"/>
        <item x="7"/>
        <item x="2"/>
        <item x="5"/>
        <item x="0"/>
        <item x="8"/>
        <item x="4"/>
        <item x="1"/>
        <item t="default"/>
      </items>
    </pivotField>
    <pivotField showAll="0">
      <items count="6">
        <item x="0"/>
        <item x="2"/>
        <item x="1"/>
        <item x="3"/>
        <item x="4"/>
        <item t="default"/>
      </items>
    </pivotField>
    <pivotField numFmtId="14" showAll="0"/>
    <pivotField numFmtId="14" showAll="0"/>
    <pivotField showAll="0"/>
    <pivotField dataField="1" numFmtId="9" showAll="0"/>
    <pivotField showAll="0">
      <items count="4">
        <item x="0"/>
        <item x="2"/>
        <item x="1"/>
        <item t="default"/>
      </items>
    </pivotField>
    <pivotField showAll="0"/>
  </pivotFields>
  <rowFields count="1">
    <field x="0"/>
  </rowFields>
  <rowItems count="4">
    <i>
      <x/>
    </i>
    <i>
      <x v="1"/>
    </i>
    <i>
      <x v="2"/>
    </i>
    <i t="grand">
      <x/>
    </i>
  </rowItems>
  <colItems count="1">
    <i/>
  </colItems>
  <dataFields count="1">
    <dataField name="Average of %Completion" fld="6" subtotal="average" baseField="7"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ssigned_To" sourceName="Assigned To">
  <pivotTables>
    <pivotTable tabId="12" name="PivotTable1"/>
    <pivotTable tabId="12" name="PivotTable2"/>
    <pivotTable tabId="12" name="PivotTable3"/>
  </pivotTables>
  <data>
    <tabular pivotCacheId="1">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ask_Name" sourceName="Task Name">
  <pivotTables>
    <pivotTable tabId="12" name="PivotTable1"/>
    <pivotTable tabId="12" name="PivotTable2"/>
    <pivotTable tabId="12" name="PivotTable3"/>
  </pivotTables>
  <data>
    <tabular pivotCacheId="1">
      <items count="9">
        <i x="3" s="1"/>
        <i x="6" s="1"/>
        <i x="7" s="1"/>
        <i x="2" s="1"/>
        <i x="5" s="1"/>
        <i x="0" s="1"/>
        <i x="8"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ssigned To" cache="Slicer_Assigned_To" caption="Assigned To" rowHeight="241300"/>
  <slicer name="Task Name" cache="Slicer_Task_Name" caption="Task Name" rowHeight="241300"/>
</slicers>
</file>

<file path=xl/tables/table1.xml><?xml version="1.0" encoding="utf-8"?>
<table xmlns="http://schemas.openxmlformats.org/spreadsheetml/2006/main" id="1" name="PTable" displayName="PTable" ref="A1:I10" totalsRowShown="0">
  <autoFilter ref="A1:I10"/>
  <tableColumns count="9">
    <tableColumn id="1" name="Project Name" dataDxfId="8"/>
    <tableColumn id="2" name="Task Name" dataDxfId="7"/>
    <tableColumn id="3" name="Assigned To" dataDxfId="6"/>
    <tableColumn id="4" name="Start Date" dataDxfId="5"/>
    <tableColumn id="5" name="Due Date" dataDxfId="4"/>
    <tableColumn id="6" name="Status" dataDxfId="3"/>
    <tableColumn id="7" name="%Completion" dataDxfId="2"/>
    <tableColumn id="8" name="Priority" dataDxfId="1"/>
    <tableColumn id="9" name="Task Health" dataDxfId="0">
      <calculatedColumnFormula>IF(F2="Completed","Done",IF(D2&gt;E2,"Overdue","On Track"))</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E13"/>
  <sheetViews>
    <sheetView workbookViewId="0">
      <selection activeCell="P10" sqref="P10"/>
    </sheetView>
  </sheetViews>
  <sheetFormatPr defaultColWidth="9" defaultRowHeight="15"/>
  <cols>
    <col min="1" max="1" width="13.140625" customWidth="1"/>
    <col min="2" max="2" width="18.85546875" customWidth="1"/>
    <col min="4" max="4" width="19.42578125" customWidth="1"/>
    <col min="5" max="5" width="23.42578125" customWidth="1"/>
  </cols>
  <sheetData>
    <row r="3" spans="1:5">
      <c r="A3" t="s">
        <v>0</v>
      </c>
      <c r="B3" t="s">
        <v>1</v>
      </c>
      <c r="D3" t="s">
        <v>0</v>
      </c>
      <c r="E3" t="s">
        <v>2</v>
      </c>
    </row>
    <row r="4" spans="1:5">
      <c r="A4" s="15" t="s">
        <v>3</v>
      </c>
      <c r="B4" s="16">
        <v>3</v>
      </c>
      <c r="D4" s="15" t="s">
        <v>4</v>
      </c>
      <c r="E4" s="16">
        <v>0.65</v>
      </c>
    </row>
    <row r="5" spans="1:5">
      <c r="A5" s="15" t="s">
        <v>5</v>
      </c>
      <c r="B5" s="16">
        <v>3</v>
      </c>
      <c r="D5" s="15" t="s">
        <v>6</v>
      </c>
      <c r="E5" s="16">
        <v>0.57499999999999996</v>
      </c>
    </row>
    <row r="6" spans="1:5">
      <c r="A6" s="15" t="s">
        <v>7</v>
      </c>
      <c r="B6" s="16">
        <v>3</v>
      </c>
      <c r="D6" s="15" t="s">
        <v>8</v>
      </c>
      <c r="E6" s="16">
        <v>0.5</v>
      </c>
    </row>
    <row r="7" spans="1:5">
      <c r="A7" s="15" t="s">
        <v>9</v>
      </c>
      <c r="B7" s="16">
        <v>9</v>
      </c>
      <c r="D7" s="15" t="s">
        <v>9</v>
      </c>
      <c r="E7" s="16">
        <v>0.58333333333333304</v>
      </c>
    </row>
    <row r="9" spans="1:5">
      <c r="A9" t="s">
        <v>0</v>
      </c>
      <c r="B9" t="s">
        <v>1</v>
      </c>
    </row>
    <row r="10" spans="1:5">
      <c r="A10" s="15" t="s">
        <v>10</v>
      </c>
      <c r="B10" s="16">
        <v>3</v>
      </c>
      <c r="D10" s="15"/>
      <c r="E10" s="16"/>
    </row>
    <row r="11" spans="1:5">
      <c r="A11" s="15" t="s">
        <v>11</v>
      </c>
      <c r="B11" s="16">
        <v>4</v>
      </c>
      <c r="D11" s="15"/>
      <c r="E11" s="16"/>
    </row>
    <row r="12" spans="1:5">
      <c r="A12" s="15" t="s">
        <v>12</v>
      </c>
      <c r="B12" s="16">
        <v>2</v>
      </c>
      <c r="D12" s="15"/>
      <c r="E12" s="16"/>
    </row>
    <row r="13" spans="1:5">
      <c r="A13" s="15" t="s">
        <v>9</v>
      </c>
      <c r="B13" s="16">
        <v>9</v>
      </c>
      <c r="D13" s="15"/>
      <c r="E13"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0"/>
  <sheetViews>
    <sheetView workbookViewId="0">
      <selection activeCell="M12" sqref="M12"/>
    </sheetView>
  </sheetViews>
  <sheetFormatPr defaultColWidth="9" defaultRowHeight="15"/>
  <cols>
    <col min="1" max="1" width="19.42578125" customWidth="1"/>
    <col min="2" max="2" width="22.28515625" customWidth="1"/>
    <col min="3" max="3" width="14.7109375" customWidth="1"/>
    <col min="4" max="4" width="13.140625" customWidth="1"/>
    <col min="5" max="5" width="12.140625" customWidth="1"/>
    <col min="6" max="6" width="16" customWidth="1"/>
    <col min="7" max="7" width="16.140625" customWidth="1"/>
    <col min="8" max="8" width="10.5703125" customWidth="1"/>
    <col min="9" max="9" width="14.42578125" customWidth="1"/>
  </cols>
  <sheetData>
    <row r="1" spans="1:9" ht="15.75">
      <c r="A1" s="3" t="s">
        <v>13</v>
      </c>
      <c r="B1" s="4" t="s">
        <v>14</v>
      </c>
      <c r="C1" s="4" t="s">
        <v>15</v>
      </c>
      <c r="D1" s="4" t="s">
        <v>16</v>
      </c>
      <c r="E1" s="4" t="s">
        <v>17</v>
      </c>
      <c r="F1" s="4" t="s">
        <v>18</v>
      </c>
      <c r="G1" s="4" t="s">
        <v>19</v>
      </c>
      <c r="H1" s="4" t="s">
        <v>20</v>
      </c>
      <c r="I1" s="5" t="s">
        <v>21</v>
      </c>
    </row>
    <row r="2" spans="1:9">
      <c r="A2" s="6" t="s">
        <v>8</v>
      </c>
      <c r="B2" s="2" t="s">
        <v>22</v>
      </c>
      <c r="C2" s="2" t="s">
        <v>23</v>
      </c>
      <c r="D2" s="7">
        <v>45689</v>
      </c>
      <c r="E2" s="7">
        <v>45693</v>
      </c>
      <c r="F2" s="2" t="s">
        <v>12</v>
      </c>
      <c r="G2" s="8">
        <v>1</v>
      </c>
      <c r="H2" s="2" t="s">
        <v>3</v>
      </c>
      <c r="I2" s="9" t="str">
        <f>IF(F2="Completed","Done",IF(D2&gt;E2,"Overdue","On Track"))</f>
        <v>On Track</v>
      </c>
    </row>
    <row r="3" spans="1:9">
      <c r="A3" s="6" t="s">
        <v>6</v>
      </c>
      <c r="B3" s="2" t="s">
        <v>24</v>
      </c>
      <c r="C3" s="2" t="s">
        <v>25</v>
      </c>
      <c r="D3" s="7">
        <v>45693</v>
      </c>
      <c r="E3" s="7">
        <v>45713</v>
      </c>
      <c r="F3" s="2" t="s">
        <v>12</v>
      </c>
      <c r="G3" s="8">
        <v>0.7</v>
      </c>
      <c r="H3" s="2" t="s">
        <v>7</v>
      </c>
      <c r="I3" s="9" t="str">
        <f t="shared" ref="I3:I10" si="0">IF(F3="Completed","Done",IF(D3&gt;E3,"Overdue","On Track"))</f>
        <v>On Track</v>
      </c>
    </row>
    <row r="4" spans="1:9">
      <c r="A4" s="10" t="s">
        <v>4</v>
      </c>
      <c r="B4" s="2" t="s">
        <v>26</v>
      </c>
      <c r="C4" s="2" t="s">
        <v>27</v>
      </c>
      <c r="D4" s="7">
        <v>45701</v>
      </c>
      <c r="E4" s="7">
        <v>45698</v>
      </c>
      <c r="F4" s="2" t="s">
        <v>11</v>
      </c>
      <c r="G4" s="8">
        <v>0.45</v>
      </c>
      <c r="H4" s="2" t="s">
        <v>5</v>
      </c>
      <c r="I4" s="9" t="str">
        <f t="shared" si="0"/>
        <v>Overdue</v>
      </c>
    </row>
    <row r="5" spans="1:9">
      <c r="A5" s="6" t="s">
        <v>8</v>
      </c>
      <c r="B5" s="2" t="s">
        <v>28</v>
      </c>
      <c r="C5" s="2" t="s">
        <v>29</v>
      </c>
      <c r="D5" s="7">
        <v>45703</v>
      </c>
      <c r="E5" s="7">
        <v>45716</v>
      </c>
      <c r="F5" s="2" t="s">
        <v>10</v>
      </c>
      <c r="G5" s="8">
        <v>0</v>
      </c>
      <c r="H5" s="2" t="s">
        <v>3</v>
      </c>
      <c r="I5" s="9" t="str">
        <f t="shared" si="0"/>
        <v>Done</v>
      </c>
    </row>
    <row r="6" spans="1:9">
      <c r="A6" s="6" t="s">
        <v>6</v>
      </c>
      <c r="B6" s="2" t="s">
        <v>30</v>
      </c>
      <c r="C6" s="2" t="s">
        <v>31</v>
      </c>
      <c r="D6" s="7">
        <v>45691</v>
      </c>
      <c r="E6" s="7">
        <v>45689</v>
      </c>
      <c r="F6" s="2" t="s">
        <v>11</v>
      </c>
      <c r="G6" s="8">
        <v>1</v>
      </c>
      <c r="H6" s="2" t="s">
        <v>7</v>
      </c>
      <c r="I6" s="9" t="str">
        <f t="shared" si="0"/>
        <v>Overdue</v>
      </c>
    </row>
    <row r="7" spans="1:9">
      <c r="A7" s="6" t="s">
        <v>6</v>
      </c>
      <c r="B7" s="2" t="s">
        <v>32</v>
      </c>
      <c r="C7" s="2" t="s">
        <v>23</v>
      </c>
      <c r="D7" s="7">
        <v>45696</v>
      </c>
      <c r="E7" s="7">
        <v>45689</v>
      </c>
      <c r="F7" s="2" t="s">
        <v>11</v>
      </c>
      <c r="G7" s="8">
        <v>0.6</v>
      </c>
      <c r="H7" s="2" t="s">
        <v>5</v>
      </c>
      <c r="I7" s="9" t="str">
        <f t="shared" si="0"/>
        <v>Overdue</v>
      </c>
    </row>
    <row r="8" spans="1:9">
      <c r="A8" s="6" t="s">
        <v>6</v>
      </c>
      <c r="B8" s="2" t="s">
        <v>33</v>
      </c>
      <c r="C8" s="2" t="s">
        <v>27</v>
      </c>
      <c r="D8" s="7">
        <v>45703</v>
      </c>
      <c r="E8" s="7">
        <v>45708</v>
      </c>
      <c r="F8" s="2" t="s">
        <v>10</v>
      </c>
      <c r="G8" s="8">
        <v>0</v>
      </c>
      <c r="H8" s="2" t="s">
        <v>3</v>
      </c>
      <c r="I8" s="9" t="str">
        <f t="shared" si="0"/>
        <v>Done</v>
      </c>
    </row>
    <row r="9" spans="1:9">
      <c r="A9" s="6" t="s">
        <v>4</v>
      </c>
      <c r="B9" s="2" t="s">
        <v>34</v>
      </c>
      <c r="C9" s="2" t="s">
        <v>25</v>
      </c>
      <c r="D9" s="7">
        <v>45690</v>
      </c>
      <c r="E9" s="7">
        <v>45689</v>
      </c>
      <c r="F9" s="2" t="s">
        <v>11</v>
      </c>
      <c r="G9" s="8">
        <v>1</v>
      </c>
      <c r="H9" s="2" t="s">
        <v>7</v>
      </c>
      <c r="I9" s="9" t="str">
        <f t="shared" si="0"/>
        <v>Overdue</v>
      </c>
    </row>
    <row r="10" spans="1:9">
      <c r="A10" s="10" t="s">
        <v>4</v>
      </c>
      <c r="B10" s="11" t="s">
        <v>35</v>
      </c>
      <c r="C10" s="11" t="s">
        <v>29</v>
      </c>
      <c r="D10" s="12">
        <v>45695</v>
      </c>
      <c r="E10" s="12">
        <v>45703</v>
      </c>
      <c r="F10" s="11" t="s">
        <v>10</v>
      </c>
      <c r="G10" s="13">
        <v>0.5</v>
      </c>
      <c r="H10" s="11" t="s">
        <v>5</v>
      </c>
      <c r="I10" s="14" t="str">
        <f t="shared" si="0"/>
        <v>Done</v>
      </c>
    </row>
  </sheetData>
  <conditionalFormatting sqref="I2:I10">
    <cfRule type="containsText" dxfId="10" priority="2" operator="containsText" text="On Track">
      <formula>NOT(ISERROR(SEARCH("On Track",I2)))</formula>
    </cfRule>
    <cfRule type="containsText" dxfId="9" priority="3" operator="containsText" text="Overdue">
      <formula>NOT(ISERROR(SEARCH("Overdue",I2)))</formula>
    </cfRule>
  </conditionalFormatting>
  <pageMargins left="0.7" right="0.7" top="0.75" bottom="0.75" header="0.3" footer="0.3"/>
  <pageSetup orientation="portrait"/>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Lists!$A$2:$A$10</xm:f>
          </x14:formula1>
          <xm:sqref>C2:C10</xm:sqref>
        </x14:dataValidation>
        <x14:dataValidation type="list" allowBlank="1" showInputMessage="1" showErrorMessage="1">
          <x14:formula1>
            <xm:f>Lists!$B$2:$B$4</xm:f>
          </x14:formula1>
          <xm:sqref>F2:F10</xm:sqref>
        </x14:dataValidation>
        <x14:dataValidation type="list" allowBlank="1" showInputMessage="1" showErrorMessage="1">
          <x14:formula1>
            <xm:f>Lists!$C$2:$C$4</xm:f>
          </x14:formula1>
          <xm:sqref>H2:H10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I2:M8"/>
  <sheetViews>
    <sheetView showGridLines="0" tabSelected="1" workbookViewId="0">
      <selection activeCell="W8" sqref="W8"/>
    </sheetView>
  </sheetViews>
  <sheetFormatPr defaultColWidth="9" defaultRowHeight="15"/>
  <cols>
    <col min="1" max="16384" width="9" style="17"/>
  </cols>
  <sheetData>
    <row r="2" spans="9:13" ht="46.5">
      <c r="I2" s="19" t="s">
        <v>36</v>
      </c>
      <c r="J2" s="20"/>
      <c r="K2" s="20"/>
      <c r="L2" s="20"/>
      <c r="M2" s="21"/>
    </row>
    <row r="4" spans="9:13" ht="28.5" customHeight="1">
      <c r="I4" s="22" t="s">
        <v>37</v>
      </c>
      <c r="J4" s="22"/>
      <c r="K4" s="22"/>
      <c r="L4" s="18"/>
      <c r="M4" s="23">
        <f>COUNTA(_xlfn.UNIQUE(PTable[Project Name]))</f>
        <v>3</v>
      </c>
    </row>
    <row r="5" spans="9:13" ht="18.75">
      <c r="I5" s="18"/>
      <c r="J5" s="18"/>
      <c r="K5" s="18"/>
      <c r="L5" s="18"/>
      <c r="M5" s="24"/>
    </row>
    <row r="6" spans="9:13" ht="23.25">
      <c r="I6" s="22" t="s">
        <v>38</v>
      </c>
      <c r="J6" s="22"/>
      <c r="K6" s="22"/>
      <c r="L6" s="18"/>
      <c r="M6" s="25">
        <f>COUNTA(_xlfn.UNIQUE(PTable[Task Name]))</f>
        <v>9</v>
      </c>
    </row>
    <row r="7" spans="9:13" ht="18.75">
      <c r="I7" s="18"/>
      <c r="J7" s="18"/>
      <c r="K7" s="18"/>
      <c r="L7" s="18"/>
      <c r="M7" s="25"/>
    </row>
    <row r="8" spans="9:13" ht="23.25">
      <c r="I8" s="22" t="s">
        <v>39</v>
      </c>
      <c r="J8" s="22"/>
      <c r="K8" s="22"/>
      <c r="L8" s="18"/>
      <c r="M8" s="26">
        <f>GETPIVOTDATA("%Completion",Sheet4!$D$3)</f>
        <v>0.58333333333333304</v>
      </c>
    </row>
  </sheetData>
  <mergeCells count="4">
    <mergeCell ref="I2:M2"/>
    <mergeCell ref="I4:K4"/>
    <mergeCell ref="I6:K6"/>
    <mergeCell ref="I8: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0"/>
  <sheetViews>
    <sheetView workbookViewId="0">
      <selection activeCell="B15" sqref="B15"/>
    </sheetView>
  </sheetViews>
  <sheetFormatPr defaultColWidth="19.28515625" defaultRowHeight="15"/>
  <sheetData>
    <row r="1" spans="1:3">
      <c r="A1" s="1" t="s">
        <v>40</v>
      </c>
      <c r="B1" s="1" t="s">
        <v>18</v>
      </c>
      <c r="C1" s="1" t="s">
        <v>20</v>
      </c>
    </row>
    <row r="2" spans="1:3">
      <c r="A2" s="2" t="s">
        <v>23</v>
      </c>
      <c r="B2" s="2" t="s">
        <v>11</v>
      </c>
      <c r="C2" s="2" t="s">
        <v>3</v>
      </c>
    </row>
    <row r="3" spans="1:3">
      <c r="A3" s="2" t="s">
        <v>27</v>
      </c>
      <c r="B3" s="2" t="s">
        <v>12</v>
      </c>
      <c r="C3" s="2" t="s">
        <v>7</v>
      </c>
    </row>
    <row r="4" spans="1:3">
      <c r="A4" s="2" t="s">
        <v>25</v>
      </c>
      <c r="B4" s="2" t="s">
        <v>10</v>
      </c>
      <c r="C4" s="2" t="s">
        <v>5</v>
      </c>
    </row>
    <row r="5" spans="1:3">
      <c r="A5" s="2" t="s">
        <v>29</v>
      </c>
      <c r="B5" s="2" t="s">
        <v>11</v>
      </c>
      <c r="C5" s="2" t="s">
        <v>3</v>
      </c>
    </row>
    <row r="6" spans="1:3">
      <c r="A6" s="2" t="s">
        <v>31</v>
      </c>
      <c r="B6" s="2" t="s">
        <v>12</v>
      </c>
      <c r="C6" s="2" t="s">
        <v>7</v>
      </c>
    </row>
    <row r="7" spans="1:3">
      <c r="A7" s="2" t="s">
        <v>23</v>
      </c>
      <c r="B7" s="2" t="s">
        <v>10</v>
      </c>
      <c r="C7" s="2" t="s">
        <v>5</v>
      </c>
    </row>
    <row r="8" spans="1:3">
      <c r="A8" s="2" t="s">
        <v>27</v>
      </c>
      <c r="B8" s="2" t="s">
        <v>11</v>
      </c>
      <c r="C8" s="2" t="s">
        <v>3</v>
      </c>
    </row>
    <row r="9" spans="1:3">
      <c r="A9" s="2" t="s">
        <v>25</v>
      </c>
      <c r="B9" s="2" t="s">
        <v>12</v>
      </c>
      <c r="C9" s="2" t="s">
        <v>7</v>
      </c>
    </row>
    <row r="10" spans="1:3">
      <c r="A10" s="2" t="s">
        <v>29</v>
      </c>
      <c r="B10" s="2" t="s">
        <v>10</v>
      </c>
      <c r="C10"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Project Data</vt:lpstr>
      <vt:lpstr>Dashboard</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919339852445</dc:creator>
  <cp:lastModifiedBy>919339852445</cp:lastModifiedBy>
  <dcterms:created xsi:type="dcterms:W3CDTF">2026-02-09T15:16:00Z</dcterms:created>
  <dcterms:modified xsi:type="dcterms:W3CDTF">2026-06-16T20:23:08Z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4C2D34D4217C4CCBAC6DDAE17BF75848_12</vt:lpwstr>
  </property>
  <property fmtid="{D5CDD505-2E9C-101B-9397-08002B2CF9AE}" pid="3" name="KSOProductBuildVer">
    <vt:lpwstr>1033-12.1.0.26880</vt:lpwstr>
  </property>
  <property fmtid="{D5CDD505-2E9C-101B-9397-08002B2CF9AE}" pid="4" name="CalculationRule">
    <vt:i4>0</vt:i4>
  </property>
</Properties>
</file>